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Shype\Desktop\RL_Plotting\"/>
    </mc:Choice>
  </mc:AlternateContent>
  <xr:revisionPtr revIDLastSave="0" documentId="13_ncr:1_{33D8C95C-8AD3-4811-8A10-DA34E2E7F6DF}"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 r="L6" i="1"/>
  <c r="L7" i="1"/>
  <c r="L8" i="1"/>
  <c r="L9" i="1"/>
  <c r="L10" i="1"/>
  <c r="L11" i="1"/>
  <c r="L12" i="1"/>
  <c r="L13" i="1"/>
  <c r="L14" i="1"/>
  <c r="L20" i="1"/>
  <c r="L21" i="1"/>
  <c r="L22" i="1"/>
  <c r="L23" i="1"/>
  <c r="L24" i="1"/>
  <c r="L25" i="1"/>
  <c r="L26" i="1"/>
  <c r="L27" i="1"/>
  <c r="L28" i="1"/>
  <c r="L29" i="1"/>
  <c r="L35" i="1"/>
  <c r="L36" i="1"/>
  <c r="L37" i="1"/>
  <c r="L38" i="1"/>
  <c r="L39" i="1"/>
  <c r="L40" i="1"/>
  <c r="L41" i="1"/>
  <c r="L42" i="1"/>
  <c r="L43" i="1"/>
  <c r="L44" i="1"/>
</calcChain>
</file>

<file path=xl/sharedStrings.xml><?xml version="1.0" encoding="utf-8"?>
<sst xmlns="http://schemas.openxmlformats.org/spreadsheetml/2006/main" count="198" uniqueCount="105">
  <si>
    <t>Problem ID</t>
  </si>
  <si>
    <t>Reasoning Type</t>
  </si>
  <si>
    <t>Difficulty</t>
  </si>
  <si>
    <t>Question</t>
  </si>
  <si>
    <t>Answer</t>
  </si>
  <si>
    <t>Correctness (0-1)</t>
  </si>
  <si>
    <t>Reasoning Clarity (0-1)</t>
  </si>
  <si>
    <t>Logical Consistency (0-1)</t>
  </si>
  <si>
    <t>Conciseness (0-1)</t>
  </si>
  <si>
    <t>Comments</t>
  </si>
  <si>
    <t>Easy</t>
  </si>
  <si>
    <t>Medium</t>
  </si>
  <si>
    <t>Hard</t>
  </si>
  <si>
    <t>Very Hard</t>
  </si>
  <si>
    <t>All mammals are warm-blooded. Dolphins are mammals. Are dolphins warm-blooded?</t>
  </si>
  <si>
    <t>Sarah finished lunch before Tom started cooking. Who ate first?</t>
  </si>
  <si>
    <t>If I had left the house five minutes earlier, I would have caught the bus. What happened?</t>
  </si>
  <si>
    <t>Alice is older than Bob. Bob is older than Carol. Who is the oldest?</t>
  </si>
  <si>
    <t>Thinking</t>
  </si>
  <si>
    <t>deductive_logic</t>
  </si>
  <si>
    <t>temporal_reasoning</t>
  </si>
  <si>
    <t>analogy</t>
  </si>
  <si>
    <t>counterfactual_reasoning</t>
  </si>
  <si>
    <t>transitive_reasoning</t>
  </si>
  <si>
    <t>probabilistic_reasoning</t>
  </si>
  <si>
    <t>formal_logic</t>
  </si>
  <si>
    <t>causal_reasoning</t>
  </si>
  <si>
    <t>spatial_reasoning</t>
  </si>
  <si>
    <t>optimization_and_planning</t>
  </si>
  <si>
    <t>Battery is to flashlight as ______ is to car. Fill in the gap.</t>
  </si>
  <si>
    <t>A bag holds 4 red, 3 blue, and 5 green marbles. You draw two marbles in a row without replacement. What is the probability the two marbles are different colors? Given that the first marble is red, what is now the probability the second is green?</t>
  </si>
  <si>
    <t>All hummingbirds are birds. No birds are mammals. Some mammals can fly. Could any animal be both a hummingbird and a flying mammal? Answer yes or no and justify your answer using formal logical reasoning.</t>
  </si>
  <si>
    <t>Suppose Anne caught a train that departed 3 minutes earlier than scheduled and therefore arrived in Paris at 09:27 a.m., letting her close a business deal that otherwise would have gone to a rival. If the train had departed on time, outline a plausible chain of events (at least three steps) showing how the deal could have changed hands.</t>
  </si>
  <si>
    <t>Picture a 3 × 3 grid labeled like a phone keypad (1-9). A chess knight starts on square 5. It makes exactly three legal knight moves, never leaving the grid and never landing on the same square twice. Question: List every possible square it could finish on and give the path(s) that reach each one.</t>
  </si>
  <si>
    <t>You need to visit four clients—A, B, C, and D—today. Constraints: * You must meet C before A. * B and D are on opposite sides of town; traveling directly between them adds 45 minutes. * You have confirmed time slots: B (10 a.m.), D (2 p.m.). * Every meeting lasts exactly 30 minutes; travel between any other pair of clients takes 15 minutes. Task: Propose a feasible schedule (times + travel legs) that meets all constraints and minimizes total idle time. Explain why your sequence is optimal or close to it.</t>
  </si>
  <si>
    <t>&lt;think&gt;\nLet\u2019s analyze the given information. We know:\n1. All mammals are warm-blooded.\n2. Dolphins are mammals.\n\nTherefore, if something is a mammal, it *must* be warm-blooded. Since dolphins are mammals, they *must* be warm-blooded.\n\n</t>
  </si>
  <si>
    <t>&lt;SOLUTION&gt;\nYes, dolphins are warm-blooded.</t>
  </si>
  <si>
    <t>The think and Solution brackets are not closed</t>
  </si>
  <si>
    <t>&lt;think&gt;Sarah finished lunch first, so she ate before Tom. The question asks who ate first, and Sarah did.&lt;/think&gt;</t>
  </si>
  <si>
    <t>&lt;SOLUTION&gt;Sarah&lt;/solution&gt;</t>
  </si>
  <si>
    <t>&lt;think&gt;This is a classic analogy question. We need to find something that shares a fundamental relationship with a flashlight and a car \u2013 both being essential for movement and providing light/power. \"Car\" is a larger, more complex object than \u201cflashlight\u201d, suggesting a fundamental role.\n\n</t>
  </si>
  <si>
    <t>&lt;SOLUTION&gt;  A boat&lt;/SOLUTION&gt;</t>
  </si>
  <si>
    <t>&lt;think&gt;Okay, let\u2019s break this down. The statement establishes a cause-and-effect relationship. If I had left the house earlier, I would have caught the bus. This implies a sequence of events \u2013 I left, then I caught the bus. The key is to figure out what happened *before* I left. It\u2019s a simple scenario, but we need to consider possibilities.\n\n</t>
  </si>
  <si>
    <t>&lt;SOLUTION&gt;The most likely scenario is that I didn't leave the house.  The statement is a conditional: \u201cIf I had left earlier, then I would have caught the bus.\u201d  Therefore, the event that *prevented* me from catching the bus is that I didn\u2019t leave.  Perhaps I missed a step, got delayed, or simply decided to stay home.</t>
  </si>
  <si>
    <t>&lt;think&gt;Alice is older than Bob, and Bob is older than Carol. Therefore, Alice must be the oldest. &lt;/thinking&gt;</t>
  </si>
  <si>
    <t>&lt;SOLUTION&gt;Alice&lt;/solution&gt;</t>
  </si>
  <si>
    <t>&lt;think&gt;\nLet $R$ be the event that the first marble is red.\nLet $G$ be the event that the second marble is green.\nWe want to find the probability that the two marbles are different colors given that the first marble is red. This is $P(G | R)$.\nWe can use the formula for conditional probability: $P(G | R) = \\frac{P(G \\cap R)}{P(R)}$.\nFirst, we find $P(R)$. There are a total of $4+3+5 = 12$ marbles. The probability of drawing a red marble first is $P(R) = \\frac{4}{12} = \\frac{1}{3}$.\nNow, we find $P(G \\cap R)$, the probability that the first marble is red and the second marble is green. This is:\n$P(G \\cap R) = P(R) \\times P(G | R) = \\frac{4}{12} \\times \\frac{5}{11} = \\frac{20}{132} = \\frac{5}{33}$.\nNow, we can find $P(G | R)$:\n$P(G | R) = \\frac{P(G \\cap R)}{P(R)} = \\frac{\\frac{5}{33}}{\\frac{1}{3}} = \\frac{5}{33} \\times \\frac{3}{1} = \\frac{15}{33} = \\frac{5}{11}$.\nNow, we want to find the probability the second marble is green, given that the first marble is red. This is $P(G | R)$.\nSince the first marble is red, there are now 3 red, 3 blue, and 5 green marbles. The total number of marbles is $3+3+5 = 11$.\nThe probability of drawing a green marble as the second marble, given that the first marble was red, is:\n$P(G | R) = \\frac{5}{11}$.\nAlternatively, we can consider the probability that the second marble is green, given that the first marble is red:\n$P(G | R) = \\frac{5}{11}$.\n\n</t>
  </si>
  <si>
    <t>Final Answer: The final answer is $\\boxed{5/11}$</t>
  </si>
  <si>
    <t>&lt;think&gt;Let\u2019s break this down. We are given two premises: 1) All hummingbirds are birds. 2) No birds are mammals. 3) Some mammals can fly. We need to determine if a hummingbird *could* be a flying mammal.\n\nPremise 1 establishes that hummingbirds are a subset of birds.  Premise 2 rules out birds from being mammals.  Premise 3 introduces the possibility of some mammals flying.  \n\nSince hummingbirds are birds, and no birds are mammals, then hummingbirds cannot be mammals.  However, the ability of *some* mammals to fly doesn\u2019t exclude the *possibility* of a hummingbird exhibiting this trait.\n\nTherefore, yes, an animal could be both a hummingbird and a flying mammal.\n\n</t>
  </si>
  <si>
    <t>&lt;SOLUTION&gt;yes&lt;/SOLUTION&gt;</t>
  </si>
  <si>
    <t>&lt;think&gt;Okay, this is a classic scenario \u2013 a missed opportunity with significant consequences. We need to consider several possibilities based on the initial delay. The key is to move beyond a simple \"it wouldn't have happened\" and into a plausible, slightly complex chain of events. The delay significantly alters the dynamics; it's not just a missed delivery, but a strategic shift. We need to think about how Anne\u2019s actions and the rival\u2019s reaction could play out.\n\n&lt;SOLUTION&gt;\n\nHere\u2019s a plausible chain of events:\n\n1. **The Delay Begins:** The train, delayed by 3 minutes, arrives in Paris at 09:27 AM. Anne\u2019s initial success \u2013 securing the deal \u2013 is significantly impacted. She now has a crucial 3-minute window to finalize the agreement.\n\n2. **The Rival\u2019s Move:** The rival, anticipating the delay, strategically decides to leverage the opportunity.  Perhaps they\u2019ve already initiated negotiations with a key client and now seize this chance to secure a similar agreement. They might send a representative to Paris, or quietly begin to formalize a deal, moving faster than anticipated. This could involve a phone call, a secure email, or a formal meeting.\n\n3. **Negotiation Intensifies &amp; Delays Extend:** The rival moves rapidly. They begin to push for the deal, and the initial schedule is rapidly changing. Negotiations could become protracted, with accusations and counter-offers escalating. Anne has to quickly respond \u2013 potentially losing valuable time. The initial 3 minutes is now stretched, adding pressure and forcing the rival to be more aggressive. \n\n4. **Anne's Response &amp; Shift:**  Anne, recognizing the shift, needs to quickly assess the situation. She might decide to: (a) accept the deal, potentially at a slightly reduced price to maintain momentum; (b) attempt to renegotiate the terms, leveraging the delay as a strategic advantage; or (c) subtly begin to work with the rival, using the delay to her advantage.\n\n5. **The Deal Collapses (Potential Outcome):** The rival, emboldened by the delay, could quickly pull out of the deal altogether.  They might send a final, non-binding email or even a team to Paris to finalize the agreement. Anne now has a potential loss, but also a crucial advantage \u2013 a secured deal that wouldn't have been possible without the delay. The outcome could range from a marginally better deal to complete failure, depending on Anne's responses.\n\n\n This chain shows the delay being a catalyst, not just a missed opportunity, and introduces a strategic element into the scenario.  It highlights how the delay can actually *benefit* Anne's position.",</t>
  </si>
  <si>
    <t>NO Solution given</t>
  </si>
  <si>
    <t>The second solution bracket is lower case</t>
  </si>
  <si>
    <t>thinking instead of think, solution lowercase</t>
  </si>
  <si>
    <t>No boxes at all =&gt; Context length</t>
  </si>
  <si>
    <t>No solution given</t>
  </si>
  <si>
    <t>&lt;think&gt;\nWe need to find all possible squares a 3x3 knight can reach from square 5, following the rules: no repeated squares, and each knight move is legal. This is a classic Knight's Tour problem. We'll systematically explore the possible paths.  Since the grid is 3x3, we'll look at each row and column.\n\nHere's a breakdown of the possibilities:\n\n* **Row 5:** The knight can move to:\n    * 1, 2, 3\n    * 4, 6\n    * 7, 8\n\n* **Column 5:** The knight can move to:\n    * 1, 2, 3\n    * 4, 6\n    * 7, 8\n\nLet's enumerate the paths:\n\n1. **Path 1:** 5 -&gt; 1 -&gt; 2 -&gt; 3 -&gt; 4 -&gt; 6 -&gt; 8 -&gt; 7 -&gt; 1 (This is a complete cycle).\n2. **Path 2:** 5 -&gt; 1 -&gt; 2 -&gt; 3 -&gt; 4 -&gt; 6 -&gt; 8 -&gt; 7 -&gt; 1 (Another complete cycle).\n3. **Path 3:** 5 -&gt; 1 -&gt; 2 -&gt; 3 -&gt; 4 -&gt; 6 -&gt; 8 -&gt; 7 -&gt; 1 (and a similar path starting at 5, but going in the opposite direction).\n\nTherefore, there are 3 possible squares the knight can reach from square 5.\n\n</t>
  </si>
  <si>
    <t>&lt;SOLUTION&gt;\n1. 5 -&gt; 1 -&gt; 2 -&gt; 3 -&gt; 4 -&gt; 6 -&gt; 8 -&gt; 7 -&gt; 1\n2. 5 -&gt; 1 -&gt; 2 -&gt; 3 -&gt; 4 -&gt; 6 -&gt; 8 -&gt; 7 -&gt; 1\n3. 5 -&gt; 1 -&gt; 2 -&gt; 3 -&gt; 4 -&gt; 6 -&gt; 8 -&gt; 7 -&gt; 1</t>
  </si>
  <si>
    <t>Did not understand the 2d premise</t>
  </si>
  <si>
    <t>&lt;think&gt;\nOkay, this is a classic scheduling problem with several constraints. We need to create a schedule that satisfies all the given rules:\n1. C must be met before A.\n2. B and D are opposite.\n3. Travel between any two clients takes 15 minutes.\n4. Meetings are 30 minutes long.\n5. We have confirmed B (10 am) and D (2 pm) meetings.\n\nThe core challenge is balancing the travel time with the meeting time.  We need a sequence that works and minimizes idle time.  Let's start by visualizing the problem and exploring possible routes.\n\nHere's a breakdown of my thinking:\n\n* **Prioritize C before A:** This is the most immediate constraint. We need to establish a sequence that ensures C is visited before A.\n* **B and D opposite:** This significantly limits the options for the initial meeting slot.\n* **15-minute travel:** This means we have a fixed window for transitions between meetings and travel.\n\nConsidering these constraints, the optimal sequence likely involves a minimum of 3 meetings: B, D, and then A.  Let's outline a possible sequence, considering travel time:\n\n1. **B (10:00 am):**  Meeting B.  Travel time: 15 minutes.\n2. **D (2:00 pm):** Meeting D. Travel time: 15 minutes.  Total travel time: 30 minutes.\n3. **A (3:00 pm):** Meeting A. Travel time: 15 minutes. Total travel time: 45 minutes.  (This is where we need to think about adjusting to the constraints)\n\nNow, let's analyze the remaining constraints. We have C to be met before A.  Let's consider the travel time between B, D, and A. Since we have 3 meetings, we need 2 travel legs.  The travel from B to D takes 15 minutes, and the travel from D to A takes 15 minutes.  Therefore, the total travel time between B, D, and A is 30 minutes.\n\n**Proposed Schedule:**\n\n1. **B (10:00 am):** 10:00 \u2013 10:15 (Meeting B)\n2. **D (2:00 pm):** 2:00 \u2013 2:15 (Meeting D)\n3. **A (3:00 pm):** 3:00 \u2013 3:15 (Meeting A)\n\n**Total Time: 30 minutes**\n**Total Travel Time: 30 minutes**\n**Idle Time: 0 minutes**\n\nThis sequence satisfies all constraints: B before A, B and D opposite, 30-minute meetings, and the travel times are within the constraints.\n\n**Optimization and Justification:**\n\nWhile this sequence *is* optimal, it's a very simple solution.  A truly *optimal* solution would require more sophisticated techniques such as considering edge cases, the possibility of slightly re-ordering the meetings, or incorporating an algorithm to minimize the total travel time without drastically altering the meeting times. This solution prioritizes a direct path and minimizes the maximum travel time.\n\nTherefore, the proposed sequence is the most feasible and minimizes idle time considering all constraints, although it's a relatively straightforward approach.\n\n&lt;SOLUTION&gt;</t>
  </si>
  <si>
    <t>Solution within thinking</t>
  </si>
  <si>
    <t>&lt;think&gt;This is a classic example of deductive reasoning. We\u2019re given two premises: 1) All mammals are warm-blooded. 2) Dolphins are mammals.  Therefore, we can logically conclude that dolphins are warm-blooded.&lt;/think&gt;</t>
  </si>
  <si>
    <t>&lt;SOLUTION&gt;Yes, dolphins are warm-blooded.&lt;/think&gt;</t>
  </si>
  <si>
    <t>Wrong bracket at the end</t>
  </si>
  <si>
    <t>&lt;think&gt;The question states Sarah finished lunch before Tom started cooking. This implies Sarah completed her meal first, and Tom started cooking afterward. Therefore, Sarah ate first.&lt;/think&gt;</t>
  </si>
  <si>
    <t>&lt;SOLUTION&gt;Sarah&lt;/SOLUTION&gt;</t>
  </si>
  <si>
    <t>&lt;think&gt;I need to find an analogy where one item is a component of another. A battery powers a flashlight, and a battery powers a car. The relationship is that of a power source.&lt;/think&gt;</t>
  </si>
  <si>
    <t>&lt;SOLUTION&gt;battery is to flashlight as fuel is to car&lt;/SOLUTION&gt;</t>
  </si>
  <si>
    <t>&lt;think&gt;This is a classic "if-then" conditional statement. It tells us that if the speaker left five minutes earlier, they would have caught the bus. The implication is that they *missed* the bus because they left too late. We don't know the exact timing of the bus, but we know it left shortly after the speaker departed.&lt;/think&gt;</t>
  </si>
  <si>
    <t>&lt;SOLUTION&gt;The speaker missed the bus because they left five minutes too late.&lt;/SOLUTION&gt;</t>
  </si>
  <si>
    <t>&lt;think&gt;This is a classic transitive relationship problem. If A is older than B, and B is older than C, then A must be older than C. Therefore, Alice is the oldest.&lt;/think&gt;</t>
  </si>
  <si>
    <t>&lt;SOLUTION&gt;Alice&lt;/SOLUTION&gt;</t>
  </si>
  <si>
    <t>&lt;think&gt;\n**Part 1: Probability of different colors**\n\nWe need to calculate the probability that the two marbles drawn are of different colors. It's easier to calculate the probability that they are the *same* color and subtract from 1.\n\n*   **Probability of both red:** (4 red marbles / 12 total) * (3 red marbles / 11 remaining) = 12/132 = 1/11\n*   **Probability of both blue:** (3 blue marbles / 12 total) * (2 blue marbles / 11 remaining) = 6/132 = 1/22\n*   **Probability of both green:** (5 green marbles / 12 total) * (4 green marbles / 11 remaining) = 20/132 = 5/33\n\nSo, the probability of drawing two marbles of the *same* color is (1/11) + (1/22) + (5/33) = (6 + 3 + 10)/66 = 19/66.\n\nTherefore, the probability of drawing two marbles of *different* colors is 1 - (19/66) = 47/66.\n\n&lt;/think&gt;</t>
  </si>
  <si>
    <t>&lt;SOLUTION&gt;\n**Part 1 Answer:** The probability the two marbles are different colors is 47/66.\n\n**Part 2 Answer:** Given that the first marble is red, what is the probability the second is green?\n\nAfter drawing a red marble, there are now 3 red, 3 blue, and 5 green marbles remaining.  This makes a total of 11 marbles. The probability of drawing a green marble second is the number of green marbles (5) divided by the total number of remaining marbles (11).\n\nTherefore, the probability is 5/11.\n&lt;/SOLUTION&gt;</t>
  </si>
  <si>
    <t>SCORE</t>
  </si>
  <si>
    <t>&lt;think&gt;\nOkay, let's break down this logic puzzle. We're given the following premises:\n\n1.  All hummingbirds are birds.\n2.  No birds are mammals.\n3.  Some mammals can fly.\n\nWe need to determine if it's possible for an animal to be *both* a hummingbird and a flying mammal.\n\nLet's consider the relationships. Hummingbirds are a *subset* of birds. Birds are *distinct* from mammals. And some mammals *can* fly. This suggests a potential overlap in the ability to fly, but the key is whether a hummingbird can *also* be a mammal.\n\nIf an animal were both a hummingbird and a mammal, it would have to satisfy *all* three conditions:\n    * It would be a hummingbird (and therefore a bird).\n    * It would be a mammal.\n    * It would be able to fly (as stated in premise 3).\n\nHowever, premise 2 states \"No birds are mammals.\" This creates a direct contradiction if the animal were a hummingbird (which is a bird).  The only way this could be true is if the 'flying mammals' referred to bats. Bats are mammals that can fly. However, the question specifically asks about a hummingbird, which is a bird, not a mammal.\n\nTherefore, based on the logical connections between the statements, it is impossible for an animal to be both a hummingbird and a flying mammal.\n&lt;/think&gt;</t>
  </si>
  <si>
    <t>&lt;SOLUTION&gt;\nNo&lt;/SOLUTION&gt;</t>
  </si>
  <si>
    <t>&lt;think&gt;\nThis is a classic \"butterfly effect\" scenario. A small delay can trigger a cascade of events. We need to consider what actions the rival company could have taken *because* Anne was delayed. It\u2019s unlikely they\u2019d just sit and wait. They\u2019d likely capitalize on the situation.\n\nHere's what we need to establish:\n1. **Immediate Action:** What would the rival likely do *immediately* after Anne\u2019s delay?\n2. **Follow-up Steps:** How would they build on that initial action?\n3. **Outcome:**  A plausible scenario showing how the deal could have shifted.\n\nLet's focus on a situation where the rival is a large, established player in the same sector.&lt;/think&gt;</t>
  </si>
  <si>
    <t>&lt;SOLUTION&gt;\n\nHere\u2019s a plausible chain of events:\n\n1. **Immediate Contact &amp; Offer (Within 15-30 Minutes of Anne's Delay):**  Upon learning of Anne\u2019s significant delay, the rival company, let\u2019s call them \u201cGlobalCorp\u201d, immediately contacted Anne\u2019s firm (let\u2019s call them \u201cInnovate Solutions\u201d) via phone.  A senior executive, perhaps a VP of Business Development, would express sincere concern for Anne's well-being and explain that GlobalCorp had been monitoring the situation closely. Critically, they would immediately extend a revised, *slightly* better, offer to Anne's firm. This offer wouldn't be radically different, but it would be attractive enough \u2013 perhaps a small increase in the price or additional concessions \u2013 to make Innovate Solutions reconsider their initial position. The key here is speed and appearing sympathetic.\n\n2. **Internal Review &amp; Negotiation (Next 1-2 Hours):**  Anne\u2019s firm, under considerable pressure (especially with the potential loss of a major deal), would convene an emergency meeting to re-evaluate the situation.  They\u2019d assess the delay\u2019s impact on their original strategy, considering the increased urgency and GlobalCorp's proactive approach.  Simultaneously, they'd likely start a rapid negotiation with GlobalCorp, leveraging the delay as a powerful bargaining chip. This negotiation wouldn\u2019t be simple; there would be back-and-forth, with Innovate Solutions attempting to maximize their gains.\n\n3. **Strategic Shift &amp; Final Agreement (Within 2-4 Hours):**  Assuming Innovate Solutions were under considerable stress, they might accept GlobalCorp\u2019s revised offer. Perhaps they\u2019d include a clause guaranteeing certain long-term benefits or expedited implementation. This acceptance signals a strategic shift, indicating that the original deal was no longer viable due to the competitive pressure. GlobalCorp, now holding the key advantage (Anne's inability to stick to the original timeline), would finalize the agreement, and the deal would be signed. The delay had created an opportune moment for them to swoop in and secure the business. &lt;/SOLUTION&gt;</t>
  </si>
  <si>
    <t>&lt;think&gt;\nThis is a classic pathfinding problem with constraints. The knight's movement is defined by L-shaped moves (two steps in one direction and one step in a perpendicular direction). We need to systematically explore all possible paths, ensuring we stay within the 3x3 grid and don\u2019t revisit squares.\n\nI'll start at square 5 and consider the possible moves from there. Then, for each move, I\u2019ll consider the possible moves from that new square, and so on, until I reach three moves. I'll keep track of the coordinates and ensure all moves are valid and the path doesn't repeat.\n\nLet's represent the grid as follows:\n\n```\n1 2 3\n4 5 6\n7 8 9\n```\nSquare 5 is (2, 2) in our grid representation.\n\nPossible knight moves from (2, 2):\n*   (0, 1) = (1, 2)\n*   (0, -1) = (1, 1)\n*   (1, 0) = (2, 2)  (This is the original square, so we can't start here)\n*   (2, 1) = (3, 2)\n*   (2, -1) = (3, 1)\n*   (-1, 0) = (1, 2)\n*   (-1, 1) = (1, 3)\n*   (1, -1) = (3, 1)\n\n&lt;/think&gt;\n\nNow let's trace the possible paths:\n\n**Path 1: 5 -&gt; 3 -&gt; 1 -&gt; 7**\n1.  5 (2,2) -&gt; 3 (2,1)\n2.  3 (2,1) -&gt; 1 (2,3)\n3.  1 (2,3) -&gt; 7 (3,2)\n\n**Path 2: 5 -&gt; 3 -&gt; 6 -&gt; 8**\n1. 5 (2,2) -&gt; 3 (2,1)\n2. 3 (2,1) -&gt; 6 (3,2)\n3. 6 (3,2) -&gt; 8 (3,1)\n\n**Path 3: 5 -&gt; 3 -&gt; 6 -&gt; 9**\n1. 5 (2,2) -&gt; 3 (2,1)\n2. 3 (2,1) -&gt; 6 (3,2)\n3. 6 (3,2) -&gt; 9 (3,1)\n\n**Path 4: 5 -&gt; 7 -&gt; 9 -&gt; 7**\n1. 5 (2,2) -&gt; 7 (3,2)\n2. 7 (3,2) -&gt; 9 (3,1)\n3. 9 (3,1) -&gt; 7 (3,2)\n\n**Path 5: 5 -&gt; 7 -&gt; 8 -&gt; 6**\n1. 5 (2,2) -&gt; 7 (3,2)\n2. 7 (3,2) -&gt; 8 (3,1)\n3. 8 (3,1) -&gt; 6 (3,2)\n\n**Path 6: 5 -&gt; 8 -&gt; 6 -&gt; 4**\n1. 5 (2,2) -&gt; 8 (3,1)\n2. 8 (3,1) -&gt; 6 (3,2)\n3. 6 (3,2) -&gt; 4 (2,3)\n\n**Path 7: 5 -&gt; 8 -&gt; 6 -&gt; 9**\n1. 5 (2,2) -&gt; 8 (3,1)\n2. 8 (3,1) -&gt; 6 (3,2)\n3. 6 (3,2) -&gt; 9 (3,1)\n\n**Path 8: 5 -&gt; 8 -&gt; 7 -&gt; 9**\n1. 5 (2,2) -&gt; 8 (3,1)\n2. 8 (3,1) -&gt; 7 (3,2)\n3. 7 (3,2) -&gt; 9 (3,1)\n&lt;/think&gt;</t>
  </si>
  <si>
    <t>&lt;SOLUTION&gt;\nHere are all the possible squares the knight can finish on after exactly three moves, along with the paths that lead to them:\n\n*   **7 (3,2)**: 5 -&gt; 7\n*   **9 (3,1)**: 5 -&gt; 7 -&gt; 9\n*   **8 (3,1)**: 5 -&gt; 8\n*   **6 (3,2)**: 5 -&gt; 7 -&gt; 9 -&gt; 6\n*   **4 (2,3)**: 5 -&gt; 7 -&gt; 9 -&gt; 6 -&gt; 4\n*   **9 (3,1)**: 5 -&gt; 7 -&gt; 9\n&lt;/SOLUTION&gt;</t>
  </si>
  <si>
    <t>&lt;think&gt;\nFirst, let's visualize the constraints:\n\n*   **C before A:** This is a hard constraint \u2013 we *must* see C before A.\n*   **B &amp; D Opposite Sides:** The 45-minute travel time between B and D is a significant factor. This means they can\u2019t be visited sequentially without a break.\n*   **Fixed Times:** B at 10:00 a.m., D at 2:00 p.m.\n*   **Meeting Duration:** 30 minutes each.\n*   **Travel Time:** 15 minutes between any two clients.\n\nWe need to create a schedule that respects these constraints while minimizing idle time. A greedy approach, prioritizing shortest travel times, is probably the best strategy here, but we must account for the C before A rule.\n\nLet's consider possible sequences. We'll prioritize minimizing travel time.\n\n**Scenario 1: C -&gt; A -&gt; B -&gt; D** This is not viable, as we must visit C before A.\n\n**Scenario 2: C -&gt; A -&gt; D -&gt; B** Let's analyze this. This allows C to be seen before A. Travel times: C to A (15 mins), A to D (15 mins), D to B (45 mins), and D to B (45 mins). This doesn\u2019t work because B and D need to be visited sequentially and this does not allow it.\n\n**Scenario 3: C -&gt; A -&gt; B -&gt; D** This doesn't meet the C before A constraint.\n\n**Scenario 4: C -&gt; B -&gt; A -&gt; D**\nC to B (15), B to A (15), A to D (15), D to B (45) - This doesn't meet the fixed B time.\n\n**Scenario 5: C -&gt; B -&gt; D -&gt; A**\nC to B (15), B to D (45), D to A (15), A to B (15) - This doesn't meet the fixed D time.\n\n**Scenario 6: C -&gt; A -&gt; B -&gt; D**  This does not work because C needs to be before A.\n\n**Scenario 7: C -&gt; B -&gt; D -&gt; A**\nC to B (15)\nB to D (45)\nD to A (15)\nA to B (15)\nThis doesn\u2019t allow us to visit B at 10am.\n\n**Scenario 8: C -&gt; B -&gt; D -&gt; A**\nC to B (15)\nB to D (45)\nD to A (15)\nA to B (15)\nThis doesn\u2019t allow us to visit B at 10am.\n\n**Scenario 9: C -&gt; A -&gt; B -&gt; D** This does not meet the constraint of C before A.\n\nNow let\u2019s try another approach, accommodating the fixed B and D times.\nSince B is at 10:00 am and D at 2:00 pm, we need to fit C and A around those.\n**Proposed Solution:**\n\n1.  **C (9:00 a.m.) - (30 minutes)** Travel to B (15 min)\n2.  **B (10:00 a.m.) - (30 minutes)** Travel to A (15 min)\n3.  **A (10:30 a.m.) - (30 minutes)** Travel to D (15 min)\n4.  **D (2:00 p.m.) - (30 minutes)**\n\nTotal Travel Time: 15 + 15 + 15 = 45 mins\nTotal Meeting Time: 30 * 4 = 120 minutes\n\nIdle time = 0 (All meeting times are respected)</t>
  </si>
  <si>
    <t>&lt;SOLUTION&gt;\n**Schedule:**\n\n1.  **9:00 a.m. - 9:30 a.m.: C (Client C)** Travel to B (15 minutes)\n2.  **10:00 a.m. - 10:30 a.m.: B (Client B)** Travel to A (15 minutes)\n3.  **10:30 a.m. - 11:00 a.m.: A (Client A)** Travel to D (15 minutes)\n4.  **2:00 p.m. - 2:30 p.m.: D (Client D)**\n\n**Total Time:** 4.5 hours\n**Total Travel Time:** 60 minutes (15+15+15)\n**Total Meeting Time:** 120 minutes\n**Idle Time:** 0 minutes\n\n**Reasoning:** This sequence is optimal. It satisfies all constraints: C is seen before A, B is at 10 a.m., D is at 2 p.m., and each meeting is 30 minutes long. The travel times are minimized to meet the fixed times. There\u2019s no idle time. It is hard to imagine a better schedule given the constraints.</t>
  </si>
  <si>
    <t>&lt;think&gt;This is a classic example of a deductive reasoning problem. We are given two premises:\n1. All mammals are warm-blooded.\n2. Dolphins are mammals.\nThe question asks us to deduce whether dolphins are warm-blooded. If all mammals share the characteristic of being warm-blooded, and dolphins *are* mammals, then logically dolphins *must* be warm-blooded. This follows the form of a syllogism, specifically modus ponens.&lt;/think&gt;</t>
  </si>
  <si>
    <t>&lt;SOLUTION&gt;Yes, dolphins are warm-blooded.&lt;/SOLUTION&gt;</t>
  </si>
  <si>
    <t>&lt;think&gt;This is a bit of a trick question! The question asks \"Who ate first?\". Sarah finished lunch *before* Tom started cooking, meaning Sarah ate before Tom even *began* to cook. It doesn't matter who started eating first, only who *finished* first. Therefore, Sarah ate first.&lt;/think&gt;</t>
  </si>
  <si>
    <t>&lt;think&gt;\nThe relationship between a battery and a flashlight is that the battery *powers* the flashlight. I need to find something that powers a car. The most obvious answer is gasoline (or fuel/petrol). Other possibilities include electricity (for electric cars), but gasoline is the most common and generally understood power source for a car.\n&lt;/think&gt;</t>
  </si>
  <si>
    <t>&lt;SOLUTION&gt;gasoline&lt;/SOLUTION&gt;</t>
  </si>
  <si>
    <t>&lt;think&gt;This is a classic conditional statement puzzle. The key is to understand that the statement \"If I had left five minutes earlier, I would have caught the bus\" implies that I *did not* catch the bus. If I *had* caught the bus, the statement wouldn't be necessary. It highlights a missed opportunity and a consequence.\n\nTherefore, what happened is that I missed the bus.&lt;/think&gt;</t>
  </si>
  <si>
    <t>&lt;SOLUTION&gt;You missed the bus.&lt;/SOLUTION&gt;</t>
  </si>
  <si>
    <t>&lt;think&gt;The problem states Alice is older than Bob, and Bob is older than Carol. This establishes a clear order: Alice &gt; Bob &gt; Carol. Therefore, Alice is the oldest.&lt;/think&gt;</t>
  </si>
  <si>
    <t>&lt;think&gt;\nLet $R, B, G$ denote the number of red, blue, and green marbles respectively. We have $R = 4$, $B = 3$, $G = 5$. The total number of marbles is $N = R + B + G = 4 + 3 + 5 = 12$.\n\nWe want to find the probability that two marbles drawn without replacement are different colors. There are a few ways to approach this. We could calculate the probability that the two marbles are the same color, and subtract from 1. Or, we could calculate the probability of drawing different colors directly. Let's do the latter.\n\nThe probability of drawing two marbles of different colors is:\n$P(\\text{different colors}) = 1 - P(\\text{same color}) = 1 - (P(RR) + P(BB) + P(GG))$\n$P(RR) = \\frac{4}{12} \\times \\frac{3}{11} = \\frac{12}{132}$\n$P(BB) = \\frac{3}{12} \\times \\frac{2}{11} = \\frac{6}{132}$\n$P(GG) = \\frac{5}{12} \\times \\frac{4}{11} = \\frac{20}{132}$\n$P(\\text{same color}) = \\frac{12+6+20}{132} = \\frac{38}{132} = \\frac{19}{66}$\n$P(\\text{different colors}) = 1 - \\frac{19}{66} = \\frac{66-19}{66} = \\frac{47}{66}$\n\nAlternatively, we can directly calculate the probability of drawing two marbles of different colors.\nThere are $12 \\times 11 = 132$ total possible outcomes when drawing two marbles.\nThe number of ways to draw two marbles of different colors is\n$4 \\times 3 + 4 \\times 5 + 3 \\times 5 + 3 \\times 4 + 5 \\times 4 + 5 \\times 3$\nRed and Blue: $4 \\times 3 = 12$\nRed and Green: $4 \\times 5 = 20$\nBlue and Green: $3 \\times 5 = 15$\nThen the number of ways is $12 + 20 + 15 = 47$. No, this counts the order. We can instead calculate\nNumber of ways to draw different colors = Total outcomes - outcomes where the colors are the same.\nTotal outcomes: $12 \\times 11 = 132$.\nSame color outcomes:\nRR: $4 \\times 3 = 12$\nBB: $3 \\times 2 = 6$\nGG: $5 \\times 4 = 20$\nTotal same color outcomes = $12 + 6 + 20 = 38$\nTherefore, the number of ways to draw different colors is $132 - 38 = 94$. Oops. Should be $132 - 38 = 94$.\nActually the number of different color draws is $4 \\times 3 + 4 \\times 5 + 3 \\times 5 + 3 \\times 4 + 5 \\times 4 + 5 \\times 3$. No wait... this is not right.\nWe need to consider the order. The total ways of drawing two marbles is $12 \\times 11 = 132$. The ways of drawing marbles of different colors are:\nRB, RG, BR, BG, GR, GB.\n$P(RB) = \\frac{4}{12} \\times \\frac{3}{11} = \\frac{12}{132}$\n$P(RG) = \\frac{4}{12} \\times \\frac{5}{11} = \\frac{20}{132}$\n$P(BR) = \\frac{3}{12} \\times \\frac{4}{11} = \\frac{12}{132}$\n$P(BG) = \\frac{3}{12} \\times \\frac{5}{11} = \\frac{15}{132}$\n$P(GR) = \\frac{5}{12} \\times \\frac{4}{11} = \\frac{20}{132}$\n$P(GB) = \\frac{5}{12} \\times \\frac{3}{11} = \\frac{15}{132}$\nSo, the probability is $\\frac{12+20+12+15+20+15}{132} = \\frac{94}{132} = \\frac{47}{66}$.\n\nNow, given that the first marble is red, what is the probability that the second is green?\nThere are now 11 marbles. There are still 5 green marbles.\nThe probability that the second is green given the first is red is $\\frac{5}{11}$.\n\n&lt;/think&gt;</t>
  </si>
  <si>
    <t>&lt;SOLUTION&gt;\nThe probability that the two marbles are different colors is $\\frac{47}{66}$.\nGiven that the first marble is red, the probability that the second is green is $\\frac{5}{11}$.\n&lt;/SOLUTION&gt;</t>
  </si>
  <si>
    <t>&lt;think&gt;\nOkay, let's break this down using set theory and logical deduction.\n\n*   **Premise 1:** All hummingbirds are birds. (H \u2286 B)\n*   **Premise 2:** No birds are mammals. (B \u2229 M = \u2205, meaning the intersection of the set of birds and the set of mammals is empty.)\n*   **Premise 3:** Some mammals can fly. (\u2203x (M(x) \u2227 F(x)), where F represents \"can fly\").\n\nWe are asked if it's possible for an animal to be *both* a hummingbird and a flying mammal.  This is asking if the intersection of the set of hummingbirds (H) and the set of flying mammals (M \u2229 F) is non-empty.\n\nSince all hummingbirds are birds, and no birds are mammals, it follows that no hummingbirds can be mammals. Thus, the intersection of the set of hummingbirds and the set of mammals is empty (H \u2229 M = \u2205).\n\nBecause H \u2229 M = \u2205, it is impossible for any animal to be both a hummingbird and a mammal, even if that mammal can fly. The existence of flying mammals doesn't change the fundamental fact that hummingbirds are not mammals.\n\n&lt;/think&gt;</t>
  </si>
  <si>
    <t>&lt;SOLUTION&gt;\nNo.\n\n**Justification:**\n\nLet H represent the set of hummingbirds, B the set of birds, M the set of mammals, and F the set of animals that can fly.\n\n1.  **Premise 1:** H \u2286 B (All hummingbirds are birds)\n2.  **Premise 2:** B \u2229 M = \u2205 (No birds are mammals)\n3.  **Premise 3:** \u2203x (M(x) \u2227 F(x)) (Some mammals can fly)\n\nWe want to determine if H \u2229 (M \u2229 F) \u2260 \u2205 (Can an animal be both a hummingbird and a flying mammal?).\n\nFrom premise 1 and 2, since H \u2286 B and B \u2229 M = \u2205, it follows that H \u2229 M = \u2205.  (If all hummingbirds are birds, and no birds are mammals, then no hummingbirds are mammals.)\n\nSince H \u2229 M = \u2205,  H \u2229 (M \u2229 F) must also be \u2205. (The intersection of H with anything that includes M will be empty.)\n\nTherefore, it is impossible for any animal to be both a hummingbird and a flying mammal.\n&lt;/SOLUTION&gt;</t>
  </si>
  <si>
    <t>&lt;think&gt;\nOkay, the core of the problem is to imagine a scenario where Anne *loses* the deal if the train is on time, given that arriving early secured it. I need a chain of events that is plausible and links the timing of the arrival to the deal's outcome. The deal likely hinges on being the *first* to present an offer or information. Here's my thinking:\n\n1. **The Rival's Meeting:** The rival likely had a meeting scheduled with the key decision-maker shortly *before* Anne's scheduled arrival. This meeting was the rival's attempt to secure the deal.\n2. **Timing is Everything:** If Anne arrived on time, her meeting would happen *after* the rival's, and the decision-maker would already have a preferred offer. It implies the decision-maker was ready to make a decision around the original arrival time.\n3. **A Quick Decision &amp; Confirmation:** The rival's presentation goes well, and the decision-maker makes a provisional agreement *immediately* after the presentation, before Anne arrives, perhaps with a signature on a preliminary document or a firm verbal commitment. Anne's later arrival wouldn't change this outcome.\n\nI need to weave this into a narrative that feels realistic. The key is to make the rival *just* quick enough to seal the deal before Anne's on-time arrival.\n\n&lt;/think&gt;</t>
  </si>
  <si>
    <t>&lt;SOLUTION&gt;\n\nHere's a plausible chain of events outlining how the deal could have gone to the rival if the train had departed on schedule:\n\n1. **Rival's Early Appointment:** The rival, Mr. Dubois, had secured a meeting with Monsieur Lavigne, the key decision-maker, at 09:20 a.m. This was strategically scheduled *before* Anne\u2019s originally scheduled arrival time of 09:30 a.m. He knew Anne was also vying for the deal and wanted to present his offer first.\n\n2. **Rapid Agreement &amp; Provisional Sign-off:** Mr. Dubois\u2019 presentation went exceedingly well. Monsieur Lavigne was impressed with the terms and immediately signaled his approval. Before Anne's train even arrived, Monsieur Lavigne requested a preliminary agreement document, which Mr. Dubois had prepared. They quickly reviewed and signed a non-binding Letter of Intent at 09:28 a.m., outlining the key terms of the deal. Monsieur Lavigne indicated that, barring unforeseen circumstances, the final contract would be drawn up shortly.\n\n3. **Anne's Arrival Too Late:** Anne arrived at 09:30 a.m. (had the train been on time). She discovered Monsieur Lavigne was already shaking hands with Mr. Dubois, celebrating the preliminary agreement. Monsieur Lavigne politely explained that a decision had already been made, adding that while he appreciated Anne's offer, Mr. Dubois had been first to finalize terms and present a signed Letter of Intent. Anne's late arrival meant she couldn't present her proposal before the deal was essentially sealed.\n\n&lt;/SOLUTION&gt;</t>
  </si>
  <si>
    <t>&lt;think&gt;\nOkay, this is a classic knight's tour problem, but constrained to a 3x3 grid and only three moves. Let's visualize the keypad layout:\n\n1 2 3\n4 5 6\n7 8 9\n\nThe knight starts at 5. A knight moves in an \"L\" shape - two squares in one direction (horizontally or vertically) and one square perpendicularly. Let's enumerate the possible first moves from 5:\n\n*   To 2: (5 -&gt; 2)\n*   To 4: (5 -&gt; 4)\n*   To 6: (5 -&gt; 6)\n*   To 8: (5 -&gt; 8)\n\nNow, from each of these first moves, we need to find the possible second moves, *without revisiting 5* and staying within the grid. And from each of those, a third valid move. Finally, we need to list the ending squares and the paths that lead to them.\n\nLet's explore systematically:\n\n*   **5 -&gt; 2:** From 2, the knight can move to 7, 9, or 4.\n    *   5 -&gt; 2 -&gt; 7: From 7, the knight can move to 2 (already visited), 6, or 9.  5 -&gt; 2 -&gt; 7 -&gt; 6 is valid.  5 -&gt; 2 -&gt; 7 -&gt; 9 is valid.\n    *   5 -&gt; 2 -&gt; 9: From 9, the knight can move to 4, 6, or 8.\n    *   5 -&gt; 2 -&gt; 4: From 4, the knight can move to 7, 9, or 3.\n*   **5 -&gt; 4:** From 4, the knight can move to 1, 3, 7, or 9.\n*   **5 -&gt; 6:** From 6, the knight can move to 1, 3, 7, or 9.\n*   **5 -&gt; 8:** From 8, the knight can move to 1, 3, 7, or 9.\n\nThis is getting a bit messy, so I'll trace out all possible 3-move sequences to ensure no duplicates or invalid moves. I will start by listing out every possible path of length 3 and then filter for validity. This will take some time to do by hand, but it should be more thorough.\n&lt;/think&gt;</t>
  </si>
  <si>
    <t>&lt;SOLUTION&gt;\nHere's the list of all possible ending squares and the paths that reach them:\n\n*   **1:**\n    *   5 -&gt; 2 -&gt; 4 -&gt; 1\n    *   5 -&gt; 8 -&gt; 6 -&gt; 1\n*   **3:**\n    *   5 -&gt; 2 -&gt; 4 -&gt; 3\n    *   5 -&gt; 4 -&gt; 2 -&gt; 3\n    *   5 -&gt; 6 -&gt; 4 -&gt; 3\n    *   5 -&gt; 8 -&gt; 6 -&gt; 3\n*   **6:**\n    *   5 -&gt; 2 -&gt; 7 -&gt; 6\n    *   5 -&gt; 4 -&gt; 7 -&gt; 6\n    *   5 -&gt; 8 -&gt; 7 -&gt; 6\n*   **7:**\n    *   5 -&gt; 2 -&gt; 7 -&gt; 9\n    *   5 -&gt; 4 -&gt; 7 -&gt; 2\n    *   5 -&gt; 6 -&gt; 7 -&gt; 2\n    *   5 -&gt; 8 -&gt; 7 -&gt; 2\n*   **9:**\n    *   5 -&gt; 2 -&gt; 7 -&gt; 9\n    *   5 -&gt; 4 -&gt; 7 -&gt; 9\n    *   5 -&gt; 6 -&gt; 7 -&gt; 9\n    *   5 -&gt; 8 -&gt; 7 -&gt; 9\n\nTherefore, the possible ending squares are 1, 3, 6, 7 and 9. The paths are listed above for each ending square. There are 11 unique paths overall.</t>
  </si>
  <si>
    <t>Closing bracket for solution is missing</t>
  </si>
  <si>
    <t>&lt;think&gt;Okay, this is a scheduling problem with constraints. Let's break it down.\n\n1. **Fixed Points:** B is at 10:00 AM and D is at 2:00 PM. These are anchors.\n2. **C before A:** This is a direct precedence constraint.\n3. **B &amp; D Separation:** Traveling between B and D is expensive (45 minutes).\n4. **Travel Times:** 15 minutes between any two clients *except* B and D.\n5. **Meeting Duration:** 30 minutes each.\n6. **Goal:** Minimize idle time.  This suggests we want to pack the meetings as tightly as possible, respecting the constraints.\n\nLet's consider the possible sequences, keeping in mind B and D must be separated. Since we want to minimize idle time, ideally, we want to start as early as possible. Since C must be before A, we have to consider the order in which they fit around B and D.\n\nHere are a few possible schedules to consider, along with a rough estimate of total travel/meeting time. I'll look for the one that minimizes the total duration.\n\n* **C-B-D-A:** Not possible because B is at 10 AM and D is at 2 PM.\n* **C-B-A-D:**  C starts (say 9:00), C ends 9:30, travel to B (15 min) arrives 9:45. B meeting 10:00-10:30. Travel to A (15 mins) 10:45-11:15. Travel to D (45 minutes for B-D) -&gt; 12:00, D meeting 2:00.  This seems lengthy.\n* **B-C-A-D:** B at 10:00. Travel to C (15 mins) -&gt; 10:15. C Meeting 10:30 - 11:00. Travel to A (15 mins) 11:15 - 11:45. Travel to D (45 mins for B-D) 12:30, D meeting 2:00. This is promising.\n* **C-D-B-A**: Not possible.\n\nLet's try to refine the B-C-A-D sequence to see if we can compress it further. We can start the sequence right at 10:00 AM for B.\n\nI believe the B-C-A-D sequence is the most optimal because of the fixed points and the B-D constraint. Any arrangement placing C and A *before* B and D will require significant backtracking or waiting. Any other order of C/A within the B-C-A-D sequence won't change the overall travel time dramatically.\n\n&lt;/think&gt;</t>
  </si>
  <si>
    <t>&lt;SOLUTION&gt;\n\n**Proposed Schedule:**\n\n1. **10:00 AM - 10:30 AM:** Meeting with Client B.\n2. **10:30 AM - 10:45 AM:** Travel from B to C (15 minutes).\n3. **10:45 AM - 11:15 AM:** Meeting with Client C.\n4. **11:15 AM - 11:30 AM:** Travel from C to A (15 minutes).\n5. **11:30 AM - 12:00 PM:** Meeting with Client A.\n6. **12:00 PM - 12:45 PM:** Travel from A to D (45 minutes \u2013 accounts for B and D being on opposite sides of town).\n7. **2:00 PM - 2:30 PM:** Meeting with Client D.\n\n**Total Duration:** 5 hours.\n\n**Explanation of Optimality:**\n\nThis schedule satisfies all constraints:\n\n*   **C before A:** C is visited before A.\n*   **Fixed Time Slots:** B at 10:00 AM and D at 2:00 PM.\n*   **B &amp; D Separation:** The 45-minute travel time between A and D addresses the location constraint.\n*   **Travel &amp; Meeting Durations:** All travel and meeting times are accounted for.\n\nThe rationale for considering this near-optimal: Because B and D are fixed, the order of C and A is less significant as long as C precedes A. The longer travel time between A and D is unavoidable. The schedule avoids excessive idle time by chaining meetings and maximizing the use of the available slots around the fixed appointments. Starting with B at 10:00, then C, A, and finally D, allows for a relatively smooth flow within the constraints.\n&lt;/SOLUTION&gt;</t>
  </si>
  <si>
    <t>4b model</t>
  </si>
  <si>
    <t>27b model</t>
  </si>
  <si>
    <t>1b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</si>
</sst>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2" fillId="0" borderId="0" xfId="0" applyFont="1" applyAlignment="1">
      <alignment horizontal="center"/>
    </xf>
    <xf numFmtId="0" fontId="1" fillId="0" borderId="0" xfId="0" applyFont="1" applyBorder="1" applyAlignment="1">
      <alignment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
  <sheetViews>
    <sheetView tabSelected="1" workbookViewId="0">
      <selection activeCell="M21" sqref="M21"/>
    </sheetView>
  </sheetViews>
  <sheetFormatPr baseColWidth="10" defaultColWidth="9.140625" defaultRowHeight="15" x14ac:dyDescent="0.25"/>
  <cols>
    <col min="1" max="1" width="12.140625" customWidth="1"/>
    <col min="2" max="2" width="22.140625" customWidth="1"/>
    <col min="3" max="3" width="14.28515625" customWidth="1"/>
    <col min="4" max="4" width="81.5703125" customWidth="1"/>
    <col min="6" max="6" width="12.28515625" customWidth="1"/>
    <col min="7" max="7" width="19.85546875" customWidth="1"/>
    <col min="8" max="8" width="21.5703125" customWidth="1"/>
    <col min="9" max="9" width="22.85546875" customWidth="1"/>
    <col min="10" max="10" width="17.7109375" customWidth="1"/>
  </cols>
  <sheetData>
    <row r="1" spans="1:12" ht="26.25" x14ac:dyDescent="0.4">
      <c r="A1" s="3" t="s">
        <v>104</v>
      </c>
      <c r="B1" s="3"/>
      <c r="C1" s="3"/>
      <c r="D1" s="3"/>
      <c r="E1" s="3"/>
      <c r="F1" s="3"/>
      <c r="G1" s="3"/>
      <c r="H1" s="3"/>
      <c r="I1" s="3"/>
      <c r="J1" s="3"/>
      <c r="K1" s="3"/>
      <c r="L1" s="3"/>
    </row>
    <row r="2" spans="1:12" x14ac:dyDescent="0.25">
      <c r="A2" s="4"/>
      <c r="B2" s="4"/>
      <c r="C2" s="4"/>
      <c r="D2" s="4"/>
      <c r="E2" s="4"/>
      <c r="F2" s="4"/>
      <c r="G2" s="4"/>
      <c r="H2" s="4"/>
      <c r="I2" s="4"/>
      <c r="J2" s="4"/>
      <c r="K2" s="4"/>
    </row>
    <row r="4" spans="1:12" x14ac:dyDescent="0.25">
      <c r="A4" s="1" t="s">
        <v>0</v>
      </c>
      <c r="B4" s="1" t="s">
        <v>1</v>
      </c>
      <c r="C4" s="1" t="s">
        <v>2</v>
      </c>
      <c r="D4" s="1" t="s">
        <v>3</v>
      </c>
      <c r="E4" s="1" t="s">
        <v>18</v>
      </c>
      <c r="F4" s="1" t="s">
        <v>4</v>
      </c>
      <c r="G4" s="1" t="s">
        <v>5</v>
      </c>
      <c r="H4" s="1" t="s">
        <v>6</v>
      </c>
      <c r="I4" s="1" t="s">
        <v>7</v>
      </c>
      <c r="J4" s="1" t="s">
        <v>8</v>
      </c>
      <c r="K4" s="1" t="s">
        <v>9</v>
      </c>
      <c r="L4" s="2" t="s">
        <v>74</v>
      </c>
    </row>
    <row r="5" spans="1:12" x14ac:dyDescent="0.25">
      <c r="A5">
        <v>1</v>
      </c>
      <c r="B5" t="s">
        <v>19</v>
      </c>
      <c r="C5" t="s">
        <v>10</v>
      </c>
      <c r="D5" t="s">
        <v>14</v>
      </c>
      <c r="E5" t="s">
        <v>35</v>
      </c>
      <c r="F5" t="s">
        <v>36</v>
      </c>
      <c r="G5">
        <v>1</v>
      </c>
      <c r="H5">
        <v>1</v>
      </c>
      <c r="I5">
        <v>1</v>
      </c>
      <c r="J5">
        <v>1</v>
      </c>
      <c r="K5" t="s">
        <v>37</v>
      </c>
      <c r="L5">
        <f>SUM(G5:J5)</f>
        <v>4</v>
      </c>
    </row>
    <row r="6" spans="1:12" x14ac:dyDescent="0.25">
      <c r="A6">
        <v>2</v>
      </c>
      <c r="B6" t="s">
        <v>20</v>
      </c>
      <c r="C6" t="s">
        <v>10</v>
      </c>
      <c r="D6" t="s">
        <v>15</v>
      </c>
      <c r="E6" t="s">
        <v>38</v>
      </c>
      <c r="F6" t="s">
        <v>39</v>
      </c>
      <c r="G6">
        <v>1</v>
      </c>
      <c r="H6">
        <v>1</v>
      </c>
      <c r="I6">
        <v>1</v>
      </c>
      <c r="J6">
        <v>1</v>
      </c>
      <c r="K6" t="s">
        <v>52</v>
      </c>
      <c r="L6">
        <f t="shared" ref="L6:L22" si="0">SUM(G6:J6)</f>
        <v>4</v>
      </c>
    </row>
    <row r="7" spans="1:12" x14ac:dyDescent="0.25">
      <c r="A7">
        <v>3</v>
      </c>
      <c r="B7" t="s">
        <v>21</v>
      </c>
      <c r="C7" t="s">
        <v>11</v>
      </c>
      <c r="D7" t="s">
        <v>29</v>
      </c>
      <c r="E7" t="s">
        <v>40</v>
      </c>
      <c r="F7" t="s">
        <v>41</v>
      </c>
      <c r="G7">
        <v>0</v>
      </c>
      <c r="H7">
        <v>1</v>
      </c>
      <c r="I7">
        <v>0.5</v>
      </c>
      <c r="J7">
        <v>0.5</v>
      </c>
      <c r="L7">
        <f t="shared" si="0"/>
        <v>2</v>
      </c>
    </row>
    <row r="8" spans="1:12" x14ac:dyDescent="0.25">
      <c r="A8">
        <v>4</v>
      </c>
      <c r="B8" t="s">
        <v>22</v>
      </c>
      <c r="C8" t="s">
        <v>11</v>
      </c>
      <c r="D8" t="s">
        <v>16</v>
      </c>
      <c r="E8" t="s">
        <v>42</v>
      </c>
      <c r="F8" t="s">
        <v>43</v>
      </c>
      <c r="G8">
        <v>0</v>
      </c>
      <c r="H8">
        <v>0.5</v>
      </c>
      <c r="I8">
        <v>0</v>
      </c>
      <c r="J8">
        <v>0.25</v>
      </c>
      <c r="K8" t="s">
        <v>37</v>
      </c>
      <c r="L8">
        <f t="shared" si="0"/>
        <v>0.75</v>
      </c>
    </row>
    <row r="9" spans="1:12" x14ac:dyDescent="0.25">
      <c r="A9">
        <v>5</v>
      </c>
      <c r="B9" t="s">
        <v>23</v>
      </c>
      <c r="C9" t="s">
        <v>11</v>
      </c>
      <c r="D9" t="s">
        <v>17</v>
      </c>
      <c r="E9" t="s">
        <v>44</v>
      </c>
      <c r="F9" t="s">
        <v>45</v>
      </c>
      <c r="G9">
        <v>1</v>
      </c>
      <c r="H9">
        <v>1</v>
      </c>
      <c r="I9">
        <v>1</v>
      </c>
      <c r="J9">
        <v>1</v>
      </c>
      <c r="K9" t="s">
        <v>53</v>
      </c>
      <c r="L9">
        <f t="shared" si="0"/>
        <v>4</v>
      </c>
    </row>
    <row r="10" spans="1:12" x14ac:dyDescent="0.25">
      <c r="A10">
        <v>6</v>
      </c>
      <c r="B10" t="s">
        <v>24</v>
      </c>
      <c r="C10" t="s">
        <v>12</v>
      </c>
      <c r="D10" t="s">
        <v>30</v>
      </c>
      <c r="E10" t="s">
        <v>46</v>
      </c>
      <c r="F10" t="s">
        <v>47</v>
      </c>
      <c r="G10">
        <v>0.5</v>
      </c>
      <c r="H10">
        <v>0.5</v>
      </c>
      <c r="I10">
        <v>0.25</v>
      </c>
      <c r="J10">
        <v>0</v>
      </c>
      <c r="K10" t="s">
        <v>54</v>
      </c>
      <c r="L10">
        <f t="shared" si="0"/>
        <v>1.25</v>
      </c>
    </row>
    <row r="11" spans="1:12" x14ac:dyDescent="0.25">
      <c r="A11">
        <v>7</v>
      </c>
      <c r="B11" t="s">
        <v>25</v>
      </c>
      <c r="C11" t="s">
        <v>12</v>
      </c>
      <c r="D11" t="s">
        <v>31</v>
      </c>
      <c r="E11" t="s">
        <v>48</v>
      </c>
      <c r="F11" t="s">
        <v>49</v>
      </c>
      <c r="G11">
        <v>0</v>
      </c>
      <c r="H11">
        <v>0.5</v>
      </c>
      <c r="I11">
        <v>0</v>
      </c>
      <c r="J11">
        <v>0</v>
      </c>
      <c r="L11">
        <f t="shared" si="0"/>
        <v>0.5</v>
      </c>
    </row>
    <row r="12" spans="1:12" x14ac:dyDescent="0.25">
      <c r="A12">
        <v>8</v>
      </c>
      <c r="B12" t="s">
        <v>26</v>
      </c>
      <c r="C12" t="s">
        <v>12</v>
      </c>
      <c r="D12" t="s">
        <v>32</v>
      </c>
      <c r="E12" t="s">
        <v>50</v>
      </c>
      <c r="F12" t="s">
        <v>51</v>
      </c>
      <c r="G12">
        <v>0</v>
      </c>
      <c r="H12">
        <v>0</v>
      </c>
      <c r="I12">
        <v>0.25</v>
      </c>
      <c r="J12">
        <v>0</v>
      </c>
      <c r="K12" t="s">
        <v>55</v>
      </c>
      <c r="L12">
        <f t="shared" si="0"/>
        <v>0.25</v>
      </c>
    </row>
    <row r="13" spans="1:12" x14ac:dyDescent="0.25">
      <c r="A13">
        <v>9</v>
      </c>
      <c r="B13" t="s">
        <v>27</v>
      </c>
      <c r="C13" t="s">
        <v>13</v>
      </c>
      <c r="D13" t="s">
        <v>33</v>
      </c>
      <c r="E13" t="s">
        <v>56</v>
      </c>
      <c r="F13" t="s">
        <v>57</v>
      </c>
      <c r="G13">
        <v>0</v>
      </c>
      <c r="H13">
        <v>0</v>
      </c>
      <c r="I13">
        <v>0</v>
      </c>
      <c r="J13">
        <v>0</v>
      </c>
      <c r="K13" t="s">
        <v>58</v>
      </c>
      <c r="L13">
        <f t="shared" si="0"/>
        <v>0</v>
      </c>
    </row>
    <row r="14" spans="1:12" x14ac:dyDescent="0.25">
      <c r="A14">
        <v>10</v>
      </c>
      <c r="B14" t="s">
        <v>28</v>
      </c>
      <c r="C14" t="s">
        <v>13</v>
      </c>
      <c r="D14" t="s">
        <v>34</v>
      </c>
      <c r="E14" t="s">
        <v>59</v>
      </c>
      <c r="F14" t="s">
        <v>60</v>
      </c>
      <c r="G14">
        <v>0</v>
      </c>
      <c r="H14">
        <v>0</v>
      </c>
      <c r="I14">
        <v>0</v>
      </c>
      <c r="J14">
        <v>0</v>
      </c>
      <c r="L14">
        <f t="shared" si="0"/>
        <v>0</v>
      </c>
    </row>
    <row r="17" spans="1:12" ht="26.25" x14ac:dyDescent="0.4">
      <c r="A17" s="3" t="s">
        <v>102</v>
      </c>
      <c r="B17" s="3"/>
      <c r="C17" s="3"/>
      <c r="D17" s="3"/>
      <c r="E17" s="3"/>
      <c r="F17" s="3"/>
      <c r="G17" s="3"/>
      <c r="H17" s="3"/>
      <c r="I17" s="3"/>
      <c r="J17" s="3"/>
      <c r="K17" s="3"/>
      <c r="L17" s="3"/>
    </row>
    <row r="19" spans="1:12" x14ac:dyDescent="0.25">
      <c r="A19" s="1" t="s">
        <v>0</v>
      </c>
      <c r="B19" s="1" t="s">
        <v>1</v>
      </c>
      <c r="C19" s="1" t="s">
        <v>2</v>
      </c>
      <c r="D19" s="1" t="s">
        <v>3</v>
      </c>
      <c r="E19" s="1" t="s">
        <v>18</v>
      </c>
      <c r="F19" s="1" t="s">
        <v>4</v>
      </c>
      <c r="G19" s="1" t="s">
        <v>5</v>
      </c>
      <c r="H19" s="1" t="s">
        <v>6</v>
      </c>
      <c r="I19" s="1" t="s">
        <v>7</v>
      </c>
      <c r="J19" s="1" t="s">
        <v>8</v>
      </c>
      <c r="K19" s="1" t="s">
        <v>9</v>
      </c>
      <c r="L19" s="2" t="s">
        <v>74</v>
      </c>
    </row>
    <row r="20" spans="1:12" x14ac:dyDescent="0.25">
      <c r="A20">
        <v>1</v>
      </c>
      <c r="B20" t="s">
        <v>19</v>
      </c>
      <c r="C20" t="s">
        <v>10</v>
      </c>
      <c r="D20" t="s">
        <v>14</v>
      </c>
      <c r="E20" t="s">
        <v>61</v>
      </c>
      <c r="F20" t="s">
        <v>62</v>
      </c>
      <c r="G20">
        <v>1</v>
      </c>
      <c r="H20">
        <v>1</v>
      </c>
      <c r="I20">
        <v>1</v>
      </c>
      <c r="J20">
        <v>1</v>
      </c>
      <c r="K20" t="s">
        <v>63</v>
      </c>
      <c r="L20">
        <f>SUM(G20:J20)</f>
        <v>4</v>
      </c>
    </row>
    <row r="21" spans="1:12" x14ac:dyDescent="0.25">
      <c r="A21">
        <v>2</v>
      </c>
      <c r="B21" t="s">
        <v>20</v>
      </c>
      <c r="C21" t="s">
        <v>10</v>
      </c>
      <c r="D21" t="s">
        <v>15</v>
      </c>
      <c r="E21" t="s">
        <v>64</v>
      </c>
      <c r="F21" t="s">
        <v>65</v>
      </c>
      <c r="G21">
        <v>1</v>
      </c>
      <c r="H21">
        <v>1</v>
      </c>
      <c r="I21">
        <v>1</v>
      </c>
      <c r="J21">
        <v>1</v>
      </c>
      <c r="L21">
        <f t="shared" ref="L21:L37" si="1">SUM(G21:J21)</f>
        <v>4</v>
      </c>
    </row>
    <row r="22" spans="1:12" x14ac:dyDescent="0.25">
      <c r="A22">
        <v>3</v>
      </c>
      <c r="B22" t="s">
        <v>21</v>
      </c>
      <c r="C22" t="s">
        <v>11</v>
      </c>
      <c r="D22" t="s">
        <v>29</v>
      </c>
      <c r="E22" t="s">
        <v>66</v>
      </c>
      <c r="F22" t="s">
        <v>67</v>
      </c>
      <c r="G22">
        <v>1</v>
      </c>
      <c r="H22">
        <v>1</v>
      </c>
      <c r="I22">
        <v>1</v>
      </c>
      <c r="J22">
        <v>1</v>
      </c>
      <c r="L22">
        <f t="shared" si="1"/>
        <v>4</v>
      </c>
    </row>
    <row r="23" spans="1:12" x14ac:dyDescent="0.25">
      <c r="A23">
        <v>4</v>
      </c>
      <c r="B23" t="s">
        <v>22</v>
      </c>
      <c r="C23" t="s">
        <v>11</v>
      </c>
      <c r="D23" t="s">
        <v>16</v>
      </c>
      <c r="E23" t="s">
        <v>68</v>
      </c>
      <c r="F23" t="s">
        <v>69</v>
      </c>
      <c r="G23">
        <v>1</v>
      </c>
      <c r="H23">
        <v>1</v>
      </c>
      <c r="I23">
        <v>1</v>
      </c>
      <c r="J23">
        <v>0.75</v>
      </c>
      <c r="L23">
        <f t="shared" si="1"/>
        <v>3.75</v>
      </c>
    </row>
    <row r="24" spans="1:12" x14ac:dyDescent="0.25">
      <c r="A24">
        <v>5</v>
      </c>
      <c r="B24" t="s">
        <v>23</v>
      </c>
      <c r="C24" t="s">
        <v>11</v>
      </c>
      <c r="D24" t="s">
        <v>17</v>
      </c>
      <c r="E24" t="s">
        <v>70</v>
      </c>
      <c r="F24" t="s">
        <v>71</v>
      </c>
      <c r="G24">
        <v>1</v>
      </c>
      <c r="H24">
        <v>1</v>
      </c>
      <c r="I24">
        <v>1</v>
      </c>
      <c r="J24">
        <v>1</v>
      </c>
      <c r="L24">
        <f t="shared" si="1"/>
        <v>4</v>
      </c>
    </row>
    <row r="25" spans="1:12" x14ac:dyDescent="0.25">
      <c r="A25">
        <v>6</v>
      </c>
      <c r="B25" t="s">
        <v>24</v>
      </c>
      <c r="C25" t="s">
        <v>12</v>
      </c>
      <c r="D25" t="s">
        <v>30</v>
      </c>
      <c r="E25" t="s">
        <v>72</v>
      </c>
      <c r="F25" t="s">
        <v>73</v>
      </c>
      <c r="G25">
        <v>1</v>
      </c>
      <c r="H25">
        <v>1</v>
      </c>
      <c r="I25">
        <v>1</v>
      </c>
      <c r="J25">
        <v>0.5</v>
      </c>
      <c r="L25">
        <f t="shared" si="1"/>
        <v>3.5</v>
      </c>
    </row>
    <row r="26" spans="1:12" x14ac:dyDescent="0.25">
      <c r="A26">
        <v>7</v>
      </c>
      <c r="B26" t="s">
        <v>25</v>
      </c>
      <c r="C26" t="s">
        <v>12</v>
      </c>
      <c r="D26" t="s">
        <v>31</v>
      </c>
      <c r="E26" t="s">
        <v>75</v>
      </c>
      <c r="F26" t="s">
        <v>76</v>
      </c>
      <c r="G26">
        <v>1</v>
      </c>
      <c r="H26">
        <v>1</v>
      </c>
      <c r="I26">
        <v>1</v>
      </c>
      <c r="J26">
        <v>0.75</v>
      </c>
      <c r="L26">
        <f t="shared" si="1"/>
        <v>3.75</v>
      </c>
    </row>
    <row r="27" spans="1:12" x14ac:dyDescent="0.25">
      <c r="A27">
        <v>8</v>
      </c>
      <c r="B27" t="s">
        <v>26</v>
      </c>
      <c r="C27" t="s">
        <v>12</v>
      </c>
      <c r="D27" t="s">
        <v>32</v>
      </c>
      <c r="E27" t="s">
        <v>77</v>
      </c>
      <c r="F27" t="s">
        <v>78</v>
      </c>
      <c r="G27">
        <v>0</v>
      </c>
      <c r="H27">
        <v>0</v>
      </c>
      <c r="I27">
        <v>0</v>
      </c>
      <c r="J27">
        <v>0.25</v>
      </c>
      <c r="L27">
        <f t="shared" si="1"/>
        <v>0.25</v>
      </c>
    </row>
    <row r="28" spans="1:12" x14ac:dyDescent="0.25">
      <c r="A28">
        <v>9</v>
      </c>
      <c r="B28" t="s">
        <v>27</v>
      </c>
      <c r="C28" t="s">
        <v>13</v>
      </c>
      <c r="D28" t="s">
        <v>33</v>
      </c>
      <c r="E28" t="s">
        <v>79</v>
      </c>
      <c r="F28" t="s">
        <v>80</v>
      </c>
      <c r="G28">
        <v>0</v>
      </c>
      <c r="H28">
        <v>0.5</v>
      </c>
      <c r="I28">
        <v>0</v>
      </c>
      <c r="J28">
        <v>0.25</v>
      </c>
      <c r="L28">
        <f t="shared" si="1"/>
        <v>0.75</v>
      </c>
    </row>
    <row r="29" spans="1:12" x14ac:dyDescent="0.25">
      <c r="A29">
        <v>10</v>
      </c>
      <c r="B29" t="s">
        <v>28</v>
      </c>
      <c r="C29" t="s">
        <v>13</v>
      </c>
      <c r="D29" t="s">
        <v>34</v>
      </c>
      <c r="E29" t="s">
        <v>81</v>
      </c>
      <c r="F29" t="s">
        <v>82</v>
      </c>
      <c r="G29">
        <v>0</v>
      </c>
      <c r="H29">
        <v>0.25</v>
      </c>
      <c r="I29">
        <v>0</v>
      </c>
      <c r="J29">
        <v>0</v>
      </c>
      <c r="L29">
        <f t="shared" si="1"/>
        <v>0.25</v>
      </c>
    </row>
    <row r="32" spans="1:12" ht="26.25" x14ac:dyDescent="0.4">
      <c r="A32" s="3" t="s">
        <v>103</v>
      </c>
      <c r="B32" s="3"/>
      <c r="C32" s="3"/>
      <c r="D32" s="3"/>
      <c r="E32" s="3"/>
      <c r="F32" s="3"/>
      <c r="G32" s="3"/>
      <c r="H32" s="3"/>
      <c r="I32" s="3"/>
      <c r="J32" s="3"/>
      <c r="K32" s="3"/>
      <c r="L32" s="3"/>
    </row>
    <row r="34" spans="1:12" x14ac:dyDescent="0.25">
      <c r="A34" s="1" t="s">
        <v>0</v>
      </c>
      <c r="B34" s="1" t="s">
        <v>1</v>
      </c>
      <c r="C34" s="1" t="s">
        <v>2</v>
      </c>
      <c r="D34" s="1" t="s">
        <v>3</v>
      </c>
      <c r="E34" s="1" t="s">
        <v>18</v>
      </c>
      <c r="F34" s="1" t="s">
        <v>4</v>
      </c>
      <c r="G34" s="1" t="s">
        <v>5</v>
      </c>
      <c r="H34" s="1" t="s">
        <v>6</v>
      </c>
      <c r="I34" s="1" t="s">
        <v>7</v>
      </c>
      <c r="J34" s="1" t="s">
        <v>8</v>
      </c>
      <c r="K34" s="1" t="s">
        <v>9</v>
      </c>
      <c r="L34" s="2" t="s">
        <v>74</v>
      </c>
    </row>
    <row r="35" spans="1:12" x14ac:dyDescent="0.25">
      <c r="A35">
        <v>1</v>
      </c>
      <c r="B35" t="s">
        <v>19</v>
      </c>
      <c r="C35" t="s">
        <v>10</v>
      </c>
      <c r="D35" t="s">
        <v>14</v>
      </c>
      <c r="E35" t="s">
        <v>83</v>
      </c>
      <c r="F35" t="s">
        <v>84</v>
      </c>
      <c r="G35">
        <v>1</v>
      </c>
      <c r="H35">
        <v>1</v>
      </c>
      <c r="I35">
        <v>1</v>
      </c>
      <c r="J35">
        <v>1</v>
      </c>
      <c r="L35">
        <f>SUM(G35:J35)</f>
        <v>4</v>
      </c>
    </row>
    <row r="36" spans="1:12" x14ac:dyDescent="0.25">
      <c r="A36">
        <v>2</v>
      </c>
      <c r="B36" t="s">
        <v>20</v>
      </c>
      <c r="C36" t="s">
        <v>10</v>
      </c>
      <c r="D36" t="s">
        <v>15</v>
      </c>
      <c r="E36" t="s">
        <v>85</v>
      </c>
      <c r="F36" t="s">
        <v>65</v>
      </c>
      <c r="G36">
        <v>1</v>
      </c>
      <c r="H36">
        <v>1</v>
      </c>
      <c r="I36">
        <v>1</v>
      </c>
      <c r="J36">
        <v>1</v>
      </c>
      <c r="L36">
        <f t="shared" ref="L36:L44" si="2">SUM(G36:J36)</f>
        <v>4</v>
      </c>
    </row>
    <row r="37" spans="1:12" x14ac:dyDescent="0.25">
      <c r="A37">
        <v>3</v>
      </c>
      <c r="B37" t="s">
        <v>21</v>
      </c>
      <c r="C37" t="s">
        <v>11</v>
      </c>
      <c r="D37" t="s">
        <v>29</v>
      </c>
      <c r="E37" t="s">
        <v>86</v>
      </c>
      <c r="F37" t="s">
        <v>87</v>
      </c>
      <c r="G37">
        <v>1</v>
      </c>
      <c r="H37">
        <v>1</v>
      </c>
      <c r="I37">
        <v>1</v>
      </c>
      <c r="J37">
        <v>1</v>
      </c>
      <c r="L37">
        <f t="shared" si="2"/>
        <v>4</v>
      </c>
    </row>
    <row r="38" spans="1:12" x14ac:dyDescent="0.25">
      <c r="A38">
        <v>4</v>
      </c>
      <c r="B38" t="s">
        <v>22</v>
      </c>
      <c r="C38" t="s">
        <v>11</v>
      </c>
      <c r="D38" t="s">
        <v>16</v>
      </c>
      <c r="E38" t="s">
        <v>88</v>
      </c>
      <c r="F38" t="s">
        <v>89</v>
      </c>
      <c r="G38">
        <v>1</v>
      </c>
      <c r="H38">
        <v>1</v>
      </c>
      <c r="I38">
        <v>1</v>
      </c>
      <c r="J38">
        <v>1</v>
      </c>
      <c r="L38">
        <f t="shared" si="2"/>
        <v>4</v>
      </c>
    </row>
    <row r="39" spans="1:12" x14ac:dyDescent="0.25">
      <c r="A39">
        <v>5</v>
      </c>
      <c r="B39" t="s">
        <v>23</v>
      </c>
      <c r="C39" t="s">
        <v>11</v>
      </c>
      <c r="D39" t="s">
        <v>17</v>
      </c>
      <c r="E39" t="s">
        <v>90</v>
      </c>
      <c r="F39" t="s">
        <v>71</v>
      </c>
      <c r="G39">
        <v>1</v>
      </c>
      <c r="H39">
        <v>1</v>
      </c>
      <c r="I39">
        <v>1</v>
      </c>
      <c r="J39">
        <v>1</v>
      </c>
      <c r="L39">
        <f t="shared" si="2"/>
        <v>4</v>
      </c>
    </row>
    <row r="40" spans="1:12" x14ac:dyDescent="0.25">
      <c r="A40">
        <v>6</v>
      </c>
      <c r="B40" t="s">
        <v>24</v>
      </c>
      <c r="C40" t="s">
        <v>12</v>
      </c>
      <c r="D40" t="s">
        <v>30</v>
      </c>
      <c r="E40" t="s">
        <v>91</v>
      </c>
      <c r="F40" t="s">
        <v>92</v>
      </c>
      <c r="G40">
        <v>1</v>
      </c>
      <c r="H40">
        <v>1</v>
      </c>
      <c r="I40">
        <v>1</v>
      </c>
      <c r="J40">
        <v>1</v>
      </c>
      <c r="L40">
        <f t="shared" si="2"/>
        <v>4</v>
      </c>
    </row>
    <row r="41" spans="1:12" x14ac:dyDescent="0.25">
      <c r="A41">
        <v>7</v>
      </c>
      <c r="B41" t="s">
        <v>25</v>
      </c>
      <c r="C41" t="s">
        <v>12</v>
      </c>
      <c r="D41" t="s">
        <v>31</v>
      </c>
      <c r="E41" t="s">
        <v>93</v>
      </c>
      <c r="F41" t="s">
        <v>94</v>
      </c>
      <c r="G41">
        <v>1</v>
      </c>
      <c r="H41">
        <v>1</v>
      </c>
      <c r="I41">
        <v>1</v>
      </c>
      <c r="J41">
        <v>1</v>
      </c>
      <c r="L41">
        <f t="shared" si="2"/>
        <v>4</v>
      </c>
    </row>
    <row r="42" spans="1:12" x14ac:dyDescent="0.25">
      <c r="A42">
        <v>8</v>
      </c>
      <c r="B42" t="s">
        <v>26</v>
      </c>
      <c r="C42" t="s">
        <v>12</v>
      </c>
      <c r="D42" t="s">
        <v>32</v>
      </c>
      <c r="E42" t="s">
        <v>95</v>
      </c>
      <c r="F42" t="s">
        <v>96</v>
      </c>
      <c r="G42">
        <v>1</v>
      </c>
      <c r="H42">
        <v>1</v>
      </c>
      <c r="I42">
        <v>1</v>
      </c>
      <c r="J42">
        <v>0.5</v>
      </c>
      <c r="L42">
        <f t="shared" si="2"/>
        <v>3.5</v>
      </c>
    </row>
    <row r="43" spans="1:12" x14ac:dyDescent="0.25">
      <c r="A43">
        <v>9</v>
      </c>
      <c r="B43" t="s">
        <v>27</v>
      </c>
      <c r="C43" t="s">
        <v>13</v>
      </c>
      <c r="D43" t="s">
        <v>33</v>
      </c>
      <c r="E43" t="s">
        <v>97</v>
      </c>
      <c r="F43" t="s">
        <v>98</v>
      </c>
      <c r="G43">
        <v>0.5</v>
      </c>
      <c r="H43">
        <v>1</v>
      </c>
      <c r="I43">
        <v>0.5</v>
      </c>
      <c r="J43">
        <v>1</v>
      </c>
      <c r="K43" t="s">
        <v>99</v>
      </c>
      <c r="L43">
        <f t="shared" si="2"/>
        <v>3</v>
      </c>
    </row>
    <row r="44" spans="1:12" x14ac:dyDescent="0.25">
      <c r="A44">
        <v>10</v>
      </c>
      <c r="B44" t="s">
        <v>28</v>
      </c>
      <c r="C44" t="s">
        <v>13</v>
      </c>
      <c r="D44" t="s">
        <v>34</v>
      </c>
      <c r="E44" t="s">
        <v>100</v>
      </c>
      <c r="F44" t="s">
        <v>101</v>
      </c>
      <c r="G44">
        <v>0</v>
      </c>
      <c r="H44">
        <v>0.5</v>
      </c>
      <c r="I44">
        <v>0</v>
      </c>
      <c r="J44">
        <v>0.25</v>
      </c>
      <c r="L44">
        <f t="shared" si="2"/>
        <v>0.75</v>
      </c>
    </row>
  </sheetData>
  <mergeCells count="3">
    <mergeCell ref="A32:L32"/>
    <mergeCell ref="A17:L17"/>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Seiler</dc:creator>
  <cp:lastModifiedBy>Seiler, Fabian</cp:lastModifiedBy>
  <dcterms:created xsi:type="dcterms:W3CDTF">2025-05-30T07:57:44Z</dcterms:created>
  <dcterms:modified xsi:type="dcterms:W3CDTF">2025-06-01T14:19:04Z</dcterms:modified>
</cp:coreProperties>
</file>